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my-excel-journey\Formulas &amp; Functions\Logical-Functions\"/>
    </mc:Choice>
  </mc:AlternateContent>
  <xr:revisionPtr revIDLastSave="0" documentId="8_{74F6D99E-B51B-4CEB-A15D-A575C563CD8C}" xr6:coauthVersionLast="47" xr6:coauthVersionMax="47" xr10:uidLastSave="{00000000-0000-0000-0000-000000000000}"/>
  <bookViews>
    <workbookView xWindow="-96" yWindow="-96" windowWidth="23232" windowHeight="12552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" i="10" l="1" a="1"/>
  <c r="R2" i="10" s="1"/>
  <c r="R4" i="10" a="1"/>
  <c r="R4" i="10" s="1"/>
  <c r="R5" i="10" a="1"/>
  <c r="R5" i="10" s="1"/>
  <c r="R6" i="10" a="1"/>
  <c r="R6" i="10" s="1"/>
  <c r="R7" i="10" a="1"/>
  <c r="R7" i="10" s="1"/>
  <c r="R8" i="10" a="1"/>
  <c r="R8" i="10" s="1"/>
  <c r="R9" i="10" a="1"/>
  <c r="R9" i="10" s="1"/>
  <c r="R10" i="10" a="1"/>
  <c r="R10" i="10" s="1"/>
  <c r="R11" i="10" a="1"/>
  <c r="R11" i="10" s="1"/>
  <c r="R12" i="10" a="1"/>
  <c r="R12" i="10" s="1"/>
  <c r="R13" i="10" a="1"/>
  <c r="R13" i="10" s="1"/>
  <c r="R14" i="10" a="1"/>
  <c r="R14" i="10" s="1"/>
  <c r="R15" i="10" a="1"/>
  <c r="R15" i="10" s="1"/>
  <c r="R16" i="10" a="1"/>
  <c r="R16" i="10" s="1"/>
  <c r="R17" i="10" a="1"/>
  <c r="R17" i="10" s="1"/>
  <c r="R18" i="10" a="1"/>
  <c r="R18" i="10" s="1"/>
  <c r="R19" i="10" a="1"/>
  <c r="R19" i="10" s="1"/>
  <c r="R20" i="10" a="1"/>
  <c r="R20" i="10" s="1"/>
  <c r="R21" i="10" a="1"/>
  <c r="R21" i="10" s="1"/>
  <c r="R3" i="10" a="1"/>
  <c r="R3" i="10" s="1"/>
  <c r="Q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P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" i="10"/>
  <c r="K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<sst xmlns="http://schemas.openxmlformats.org/spreadsheetml/2006/main" count="395" uniqueCount="144">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</sst>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P16" sqref="P16"/>
    </sheetView>
  </sheetViews>
  <sheetFormatPr defaultColWidth="9.15625" defaultRowHeight="14.4" x14ac:dyDescent="0.55000000000000004"/>
  <cols>
    <col min="1" max="1" width="5.15625" style="1" customWidth="1"/>
    <col min="2" max="2" width="22.68359375" style="1" bestFit="1" customWidth="1"/>
    <col min="3" max="3" width="18.26171875" style="1" bestFit="1" customWidth="1"/>
    <col min="4" max="4" width="12.26171875" style="1" customWidth="1"/>
    <col min="5" max="5" width="11.578125" style="1" customWidth="1"/>
    <col min="6" max="6" width="10.578125" style="1" hidden="1" customWidth="1"/>
    <col min="7" max="7" width="9.15625" style="1" hidden="1" customWidth="1"/>
    <col min="8" max="9" width="11.15625" style="1" hidden="1" customWidth="1"/>
    <col min="10" max="10" width="17.26171875" style="1" hidden="1" customWidth="1"/>
    <col min="11" max="11" width="14.26171875" style="1" hidden="1" customWidth="1"/>
    <col min="12" max="12" width="10.26171875" style="1" customWidth="1"/>
    <col min="13" max="13" width="9.15625" style="1" customWidth="1"/>
    <col min="14" max="14" width="10.41796875" style="1" hidden="1" customWidth="1"/>
    <col min="15" max="15" width="14.15625" style="1" hidden="1" customWidth="1"/>
    <col min="16" max="16" width="9.68359375" style="1" customWidth="1"/>
    <col min="17" max="17" width="9.15625" style="1"/>
    <col min="18" max="18" width="14.15625" style="1" bestFit="1" customWidth="1"/>
    <col min="19" max="16384" width="9.15625" style="1"/>
  </cols>
  <sheetData>
    <row r="1" spans="2:17" ht="14.7" thickBot="1" x14ac:dyDescent="0.6">
      <c r="G1" s="25"/>
    </row>
    <row r="2" spans="2:17" s="11" customFormat="1" ht="27.75" customHeight="1" thickBot="1" x14ac:dyDescent="0.6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4.7" thickBot="1" x14ac:dyDescent="0.6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Met","Not Met")</f>
        <v>Goal Met</v>
      </c>
    </row>
    <row r="4" spans="2:17" ht="14.7" thickBot="1" x14ac:dyDescent="0.6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 Met","Not Met")</f>
        <v>Not Met</v>
      </c>
    </row>
    <row r="5" spans="2:17" ht="14.7" thickBot="1" x14ac:dyDescent="0.6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 Met</v>
      </c>
    </row>
    <row r="6" spans="2:17" ht="14.7" thickBot="1" x14ac:dyDescent="0.6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4.7" thickBot="1" x14ac:dyDescent="0.6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</row>
    <row r="8" spans="2:17" ht="14.7" thickBot="1" x14ac:dyDescent="0.6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4.7" thickBot="1" x14ac:dyDescent="0.6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4.7" thickBot="1" x14ac:dyDescent="0.6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4.7" thickBot="1" x14ac:dyDescent="0.6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</row>
    <row r="12" spans="2:17" ht="14.7" thickBot="1" x14ac:dyDescent="0.6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4.7" thickBot="1" x14ac:dyDescent="0.6">
      <c r="B14" s="17" t="s">
        <v>25</v>
      </c>
    </row>
    <row r="15" spans="2:17" x14ac:dyDescent="0.55000000000000004">
      <c r="B15" s="13" t="s">
        <v>22</v>
      </c>
      <c r="C15" s="14">
        <v>5</v>
      </c>
    </row>
    <row r="16" spans="2:17" ht="14.7" thickBot="1" x14ac:dyDescent="0.6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Q16" sqref="Q16"/>
    </sheetView>
  </sheetViews>
  <sheetFormatPr defaultColWidth="9.15625" defaultRowHeight="14.4" x14ac:dyDescent="0.55000000000000004"/>
  <cols>
    <col min="1" max="1" width="5.15625" style="1" customWidth="1"/>
    <col min="2" max="2" width="22.68359375" style="1" bestFit="1" customWidth="1"/>
    <col min="3" max="3" width="10.41796875" style="1" customWidth="1"/>
    <col min="4" max="4" width="12.26171875" style="1" customWidth="1"/>
    <col min="5" max="5" width="11.578125" style="1" customWidth="1"/>
    <col min="6" max="6" width="10.578125" style="1" hidden="1" customWidth="1"/>
    <col min="7" max="7" width="9.15625" style="1" hidden="1" customWidth="1"/>
    <col min="8" max="9" width="11.15625" style="1" hidden="1" customWidth="1"/>
    <col min="10" max="10" width="17.26171875" style="1" hidden="1" customWidth="1"/>
    <col min="11" max="11" width="14.26171875" style="1" hidden="1" customWidth="1"/>
    <col min="12" max="12" width="10.26171875" style="1" hidden="1" customWidth="1"/>
    <col min="13" max="13" width="9.15625" style="1" hidden="1" customWidth="1"/>
    <col min="14" max="14" width="10.41796875" style="1" hidden="1" customWidth="1"/>
    <col min="15" max="15" width="14.15625" style="1" hidden="1" customWidth="1"/>
    <col min="16" max="16" width="9.68359375" style="1" hidden="1" customWidth="1"/>
    <col min="17" max="17" width="9.68359375" style="1" customWidth="1"/>
    <col min="18" max="18" width="9.15625" style="1"/>
    <col min="19" max="19" width="14.15625" style="1" bestFit="1" customWidth="1"/>
    <col min="20" max="16384" width="9.15625" style="1"/>
  </cols>
  <sheetData>
    <row r="1" spans="2:17" ht="14.7" thickBot="1" x14ac:dyDescent="0.6">
      <c r="G1" s="25"/>
    </row>
    <row r="2" spans="2:17" s="11" customFormat="1" ht="27.75" customHeight="1" thickBot="1" x14ac:dyDescent="0.6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4.7" thickBot="1" x14ac:dyDescent="0.6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4.7" thickBot="1" x14ac:dyDescent="0.6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4.7" thickBot="1" x14ac:dyDescent="0.6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4.7" thickBot="1" x14ac:dyDescent="0.6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4.7" thickBot="1" x14ac:dyDescent="0.6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4.7" thickBot="1" x14ac:dyDescent="0.6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4.7" thickBot="1" x14ac:dyDescent="0.6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4.7" thickBot="1" x14ac:dyDescent="0.6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4.7" thickBot="1" x14ac:dyDescent="0.6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4.7" thickBot="1" x14ac:dyDescent="0.6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4.7" thickBot="1" x14ac:dyDescent="0.6">
      <c r="B14" s="17" t="s">
        <v>25</v>
      </c>
    </row>
    <row r="15" spans="2:17" x14ac:dyDescent="0.55000000000000004">
      <c r="B15" s="13" t="s">
        <v>22</v>
      </c>
      <c r="C15" s="14">
        <v>5</v>
      </c>
    </row>
    <row r="16" spans="2:17" ht="14.7" thickBot="1" x14ac:dyDescent="0.6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zoomScale="130" zoomScaleNormal="130" workbookViewId="0">
      <selection activeCell="R3" sqref="R3"/>
    </sheetView>
  </sheetViews>
  <sheetFormatPr defaultRowHeight="14.4" x14ac:dyDescent="0.55000000000000004"/>
  <cols>
    <col min="1" max="1" width="16.83984375" bestFit="1" customWidth="1"/>
    <col min="2" max="2" width="19.15625" hidden="1" customWidth="1"/>
    <col min="3" max="3" width="21.83984375" hidden="1" customWidth="1"/>
    <col min="4" max="4" width="11.15625" hidden="1" customWidth="1"/>
    <col min="5" max="5" width="38.15625" hidden="1" customWidth="1"/>
    <col min="6" max="6" width="14.578125" hidden="1" customWidth="1"/>
    <col min="7" max="7" width="18.578125" hidden="1" customWidth="1"/>
    <col min="8" max="8" width="13.83984375" bestFit="1" customWidth="1"/>
    <col min="9" max="9" width="19" hidden="1" customWidth="1"/>
    <col min="10" max="10" width="68.15625" hidden="1" customWidth="1"/>
    <col min="11" max="11" width="10.9453125" bestFit="1" customWidth="1"/>
    <col min="12" max="12" width="14.26171875" bestFit="1" customWidth="1"/>
    <col min="13" max="13" width="10.5234375" bestFit="1" customWidth="1"/>
    <col min="14" max="14" width="7.47265625" bestFit="1" customWidth="1"/>
    <col min="15" max="15" width="5.578125" bestFit="1" customWidth="1"/>
    <col min="16" max="16" width="10.5234375" bestFit="1" customWidth="1"/>
    <col min="17" max="18" width="9.3125" bestFit="1" customWidth="1"/>
    <col min="20" max="20" width="0" hidden="1" customWidth="1"/>
  </cols>
  <sheetData>
    <row r="1" spans="1:18" x14ac:dyDescent="0.55000000000000004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55000000000000004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IF($A2=$K$1,"Role Desired","Not Desired")</f>
        <v>Not Desired</v>
      </c>
      <c r="L2" t="str">
        <f>IF($A2=$L$1,"Role Desired","Not Desired")</f>
        <v>Not Desired</v>
      </c>
      <c r="M2" t="str">
        <f>IF($A2=$K$1,"Role Desired",IF($A2=$L$1,"Role Desired","Not Desired"))</f>
        <v>Not Desired</v>
      </c>
      <c r="N2" t="b">
        <f>AND($K$1=$A2,$L$1=$A2)</f>
        <v>0</v>
      </c>
      <c r="O2" t="b">
        <f>OR($K$1=$A2,$L$1=$A2)</f>
        <v>0</v>
      </c>
      <c r="P2" t="str">
        <f>IF(OR($K$1=$A2,$L$1=$A2),"Role Desired","Not Desired")</f>
        <v>Not Desired</v>
      </c>
      <c r="Q2" t="str">
        <f>IF(H2&gt;=$Q$1,"Salary&gt;85k","low Salary")</f>
        <v>Salary&gt;85k</v>
      </c>
      <c r="R2" t="str" cm="1">
        <f t="array" ref="R2">_xlfn.IFS(H2="","No Data",H2&gt;=$Q$1,"Salary&gt;85k",TRUE,"low Salary")</f>
        <v>Salary&gt;85k</v>
      </c>
    </row>
    <row r="3" spans="1:18" x14ac:dyDescent="0.55000000000000004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K21" si="0">IF(A3=$K$1,"Role Desired","Not Desired")</f>
        <v>Role Desired</v>
      </c>
      <c r="L3" t="str">
        <f t="shared" ref="L3:L21" si="1">IF($A3=$L$1,"Role Desired","Not Desired")</f>
        <v>Not Desired</v>
      </c>
      <c r="M3" t="str">
        <f t="shared" ref="M3:M21" si="2">IF($A3=$K$1,"Role Desired",IF($A3=$L$1,"Role Desired","Not Desired"))</f>
        <v>Role Desired</v>
      </c>
      <c r="N3" t="b">
        <f t="shared" ref="N3:N21" si="3">AND($K$1=$A3,$L$1=$A3)</f>
        <v>0</v>
      </c>
      <c r="O3" t="b">
        <f t="shared" ref="O3:O21" si="4">OR($K$1=$A3,$L$1=$A3)</f>
        <v>1</v>
      </c>
      <c r="P3" t="str">
        <f t="shared" ref="P3:P21" si="5">IF(OR($K$1=$A3,$L$1=$A3),"Role Desired","Not Desired")</f>
        <v>Role Desired</v>
      </c>
      <c r="Q3" t="str">
        <f t="shared" ref="Q3:Q21" si="6">IF(H3&gt;=$Q$1,"Salary&gt;85k","low Salary")</f>
        <v>low Salary</v>
      </c>
      <c r="R3" t="str" cm="1">
        <f t="array" ref="R3">_xlfn.IFS(H3="","No Data",H3&gt;=$Q$1,"Salary&gt;85k",TRUE,"low Salary")</f>
        <v>low Salary</v>
      </c>
    </row>
    <row r="4" spans="1:18" x14ac:dyDescent="0.55000000000000004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low Salary</v>
      </c>
      <c r="R4" t="str" cm="1">
        <f t="array" ref="R4">_xlfn.IFS(H4="","No Data",H4&gt;=$Q$1,"Salary&gt;85k",TRUE,"low Salary")</f>
        <v>No Data</v>
      </c>
    </row>
    <row r="5" spans="1:18" x14ac:dyDescent="0.55000000000000004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low Salary</v>
      </c>
      <c r="R5" t="str" cm="1">
        <f t="array" ref="R5">_xlfn.IFS(H5="","No Data",H5&gt;=$Q$1,"Salary&gt;85k",TRUE,"low Salary")</f>
        <v>No Data</v>
      </c>
    </row>
    <row r="6" spans="1:18" x14ac:dyDescent="0.55000000000000004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low Salary</v>
      </c>
      <c r="R6" t="str" cm="1">
        <f t="array" ref="R6">_xlfn.IFS(H6="","No Data",H6&gt;=$Q$1,"Salary&gt;85k",TRUE,"low Salary")</f>
        <v>No Data</v>
      </c>
    </row>
    <row r="7" spans="1:18" x14ac:dyDescent="0.55000000000000004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low Salary</v>
      </c>
      <c r="R7" t="str" cm="1">
        <f t="array" ref="R7">_xlfn.IFS(H7="","No Data",H7&gt;=$Q$1,"Salary&gt;85k",TRUE,"low Salary")</f>
        <v>No Data</v>
      </c>
    </row>
    <row r="8" spans="1:18" x14ac:dyDescent="0.55000000000000004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low Salary</v>
      </c>
      <c r="R8" t="str" cm="1">
        <f t="array" ref="R8">_xlfn.IFS(H8="","No Data",H8&gt;=$Q$1,"Salary&gt;85k",TRUE,"low Salary")</f>
        <v>No Data</v>
      </c>
    </row>
    <row r="9" spans="1:18" x14ac:dyDescent="0.55000000000000004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Salary&gt;85k</v>
      </c>
      <c r="R9" t="str" cm="1">
        <f t="array" ref="R9">_xlfn.IFS(H9="","No Data",H9&gt;=$Q$1,"Salary&gt;85k",TRUE,"low Salary")</f>
        <v>Salary&gt;85k</v>
      </c>
    </row>
    <row r="10" spans="1:18" x14ac:dyDescent="0.55000000000000004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low Salary</v>
      </c>
      <c r="R10" t="str" cm="1">
        <f t="array" ref="R10">_xlfn.IFS(H10="","No Data",H10&gt;=$Q$1,"Salary&gt;85k",TRUE,"low Salary")</f>
        <v>No Data</v>
      </c>
    </row>
    <row r="11" spans="1:18" x14ac:dyDescent="0.55000000000000004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Salary&gt;85k</v>
      </c>
      <c r="R11" t="str" cm="1">
        <f t="array" ref="R11">_xlfn.IFS(H11="","No Data",H11&gt;=$Q$1,"Salary&gt;85k",TRUE,"low Salary")</f>
        <v>Salary&gt;85k</v>
      </c>
    </row>
    <row r="12" spans="1:18" x14ac:dyDescent="0.55000000000000004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Salary&gt;85k</v>
      </c>
      <c r="R12" t="str" cm="1">
        <f t="array" ref="R12">_xlfn.IFS(H12="","No Data",H12&gt;=$Q$1,"Salary&gt;85k",TRUE,"low Salary")</f>
        <v>Salary&gt;85k</v>
      </c>
    </row>
    <row r="13" spans="1:18" x14ac:dyDescent="0.55000000000000004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Salary&gt;85k</v>
      </c>
      <c r="R13" t="str" cm="1">
        <f t="array" ref="R13">_xlfn.IFS(H13="","No Data",H13&gt;=$Q$1,"Salary&gt;85k",TRUE,"low Salary")</f>
        <v>Salary&gt;85k</v>
      </c>
    </row>
    <row r="14" spans="1:18" x14ac:dyDescent="0.55000000000000004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Salary&gt;85k</v>
      </c>
      <c r="R14" t="str" cm="1">
        <f t="array" ref="R14">_xlfn.IFS(H14="","No Data",H14&gt;=$Q$1,"Salary&gt;85k",TRUE,"low Salary")</f>
        <v>Salary&gt;85k</v>
      </c>
    </row>
    <row r="15" spans="1:18" x14ac:dyDescent="0.55000000000000004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low Salary</v>
      </c>
      <c r="R15" t="str" cm="1">
        <f t="array" ref="R15">_xlfn.IFS(H15="","No Data",H15&gt;=$Q$1,"Salary&gt;85k",TRUE,"low Salary")</f>
        <v>low Salary</v>
      </c>
    </row>
    <row r="16" spans="1:18" x14ac:dyDescent="0.55000000000000004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Salary&gt;85k</v>
      </c>
      <c r="R16" t="str" cm="1">
        <f t="array" ref="R16">_xlfn.IFS(H16="","No Data",H16&gt;=$Q$1,"Salary&gt;85k",TRUE,"low Salary")</f>
        <v>Salary&gt;85k</v>
      </c>
    </row>
    <row r="17" spans="1:18" x14ac:dyDescent="0.55000000000000004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Salary&gt;85k</v>
      </c>
      <c r="R17" t="str" cm="1">
        <f t="array" ref="R17">_xlfn.IFS(H17="","No Data",H17&gt;=$Q$1,"Salary&gt;85k",TRUE,"low Salary")</f>
        <v>Salary&gt;85k</v>
      </c>
    </row>
    <row r="18" spans="1:18" x14ac:dyDescent="0.55000000000000004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low Salary</v>
      </c>
      <c r="R18" t="str" cm="1">
        <f t="array" ref="R18">_xlfn.IFS(H18="","No Data",H18&gt;=$Q$1,"Salary&gt;85k",TRUE,"low Salary")</f>
        <v>No Data</v>
      </c>
    </row>
    <row r="19" spans="1:18" x14ac:dyDescent="0.55000000000000004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Salary&gt;85k</v>
      </c>
      <c r="R19" t="str" cm="1">
        <f t="array" ref="R19">_xlfn.IFS(H19="","No Data",H19&gt;=$Q$1,"Salary&gt;85k",TRUE,"low Salary")</f>
        <v>Salary&gt;85k</v>
      </c>
    </row>
    <row r="20" spans="1:18" x14ac:dyDescent="0.55000000000000004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low Salary</v>
      </c>
      <c r="R20" t="str" cm="1">
        <f t="array" ref="R20">_xlfn.IFS(H20="","No Data",H20&gt;=$Q$1,"Salary&gt;85k",TRUE,"low Salary")</f>
        <v>No Data</v>
      </c>
    </row>
    <row r="21" spans="1:18" x14ac:dyDescent="0.55000000000000004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Salary&gt;85k</v>
      </c>
      <c r="R21" t="str" cm="1">
        <f t="array" ref="R21">_xlfn.IFS(H21="","No Data",H21&gt;=$Q$1,"Salary&gt;85k",TRUE,"low Salary")</f>
        <v>Salary&gt;85k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4.4" x14ac:dyDescent="0.55000000000000004"/>
  <cols>
    <col min="1" max="1" width="16.83984375" bestFit="1" customWidth="1"/>
    <col min="2" max="2" width="17.41796875" hidden="1" customWidth="1"/>
    <col min="3" max="3" width="21.83984375" hidden="1" customWidth="1"/>
    <col min="4" max="4" width="11.15625" hidden="1" customWidth="1"/>
    <col min="5" max="5" width="38.15625" hidden="1" customWidth="1"/>
    <col min="6" max="6" width="14.578125" hidden="1" customWidth="1"/>
    <col min="7" max="7" width="18.578125" hidden="1" customWidth="1"/>
    <col min="8" max="8" width="13.83984375" bestFit="1" customWidth="1"/>
    <col min="9" max="9" width="19" hidden="1" customWidth="1"/>
    <col min="10" max="10" width="68.15625" hidden="1" customWidth="1"/>
    <col min="11" max="11" width="15.83984375" bestFit="1" customWidth="1"/>
    <col min="12" max="12" width="19.15625" bestFit="1" customWidth="1"/>
    <col min="13" max="13" width="14.26171875" bestFit="1" customWidth="1"/>
    <col min="14" max="14" width="11.26171875" bestFit="1" customWidth="1"/>
    <col min="15" max="15" width="10.15625" bestFit="1" customWidth="1"/>
    <col min="16" max="16" width="14.26171875" bestFit="1" customWidth="1"/>
    <col min="17" max="17" width="10.68359375" bestFit="1" customWidth="1"/>
    <col min="18" max="18" width="12.41796875" bestFit="1" customWidth="1"/>
  </cols>
  <sheetData>
    <row r="1" spans="1:18 16384:16384" x14ac:dyDescent="0.55000000000000004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55000000000000004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55000000000000004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55000000000000004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55000000000000004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55000000000000004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55000000000000004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55000000000000004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55000000000000004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55000000000000004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55000000000000004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55000000000000004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55000000000000004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55000000000000004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55000000000000004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55000000000000004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55000000000000004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55000000000000004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55000000000000004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55000000000000004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55000000000000004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4" x14ac:dyDescent="0.55000000000000004"/>
  <cols>
    <col min="1" max="1" width="6.578125" customWidth="1"/>
    <col min="2" max="2" width="13.41796875" customWidth="1"/>
    <col min="3" max="3" width="31.41796875" bestFit="1" customWidth="1"/>
    <col min="4" max="4" width="60.41796875" bestFit="1" customWidth="1"/>
    <col min="5" max="5" width="19.68359375" bestFit="1" customWidth="1"/>
    <col min="6" max="6" width="17.578125" bestFit="1" customWidth="1"/>
  </cols>
  <sheetData>
    <row r="2" spans="2:6" x14ac:dyDescent="0.55000000000000004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55000000000000004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55000000000000004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55000000000000004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55000000000000004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55000000000000004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55000000000000004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55000000000000004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2" sqref="D2:E2"/>
    </sheetView>
  </sheetViews>
  <sheetFormatPr defaultRowHeight="14.4" x14ac:dyDescent="0.55000000000000004"/>
  <cols>
    <col min="2" max="2" width="9.83984375" bestFit="1" customWidth="1"/>
    <col min="3" max="3" width="10.578125" customWidth="1"/>
  </cols>
  <sheetData>
    <row r="1" spans="2:5" ht="14.7" thickBot="1" x14ac:dyDescent="0.6"/>
    <row r="2" spans="2:5" x14ac:dyDescent="0.55000000000000004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55000000000000004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55000000000000004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55000000000000004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4.7" thickBot="1" x14ac:dyDescent="0.6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salah eddine gueroui</cp:lastModifiedBy>
  <dcterms:created xsi:type="dcterms:W3CDTF">2024-07-16T20:11:02Z</dcterms:created>
  <dcterms:modified xsi:type="dcterms:W3CDTF">2026-02-06T20:55:58Z</dcterms:modified>
</cp:coreProperties>
</file>